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tnjer\Google Drive (tjwong@g.ucla.edu)\21 Invierno\162D\CAD Parts\Drawings\"/>
    </mc:Choice>
  </mc:AlternateContent>
  <xr:revisionPtr revIDLastSave="0" documentId="13_ncr:1_{FC87EFB1-DCA0-4FDE-81EB-6DF062337A8E}" xr6:coauthVersionLast="47" xr6:coauthVersionMax="47" xr10:uidLastSave="{00000000-0000-0000-0000-000000000000}"/>
  <bookViews>
    <workbookView xWindow="20370" yWindow="-4680" windowWidth="29040" windowHeight="15840" xr2:uid="{4B33DB5C-9CAF-44AB-B1C3-9D85586B7C73}"/>
  </bookViews>
  <sheets>
    <sheet name="Main" sheetId="1" r:id="rId1"/>
    <sheet name="Main (Text Only)" sheetId="3" r:id="rId2"/>
    <sheet name="Sub" sheetId="2" r:id="rId3"/>
    <sheet name="Sub (Text Only)" sheetId="4" r:id="rId4"/>
  </sheets>
  <definedNames>
    <definedName name="FileNameList">FILES(Main!$A$1)</definedName>
    <definedName name="FileNameList2">FILES(Sub!$A$1)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0" i="3" l="1"/>
  <c r="B40" i="1"/>
  <c r="A50" i="1" a="1"/>
  <c r="A46" i="1" a="1"/>
  <c r="A43" i="2"/>
  <c r="A42" i="2"/>
  <c r="A50" i="2" a="1"/>
  <c r="A47" i="2" a="1"/>
  <c r="A51" i="2" a="1"/>
  <c r="A53" i="4" a="1"/>
  <c r="A43" i="4"/>
  <c r="A27" i="4"/>
  <c r="A11" i="4"/>
  <c r="A20" i="4"/>
  <c r="A42" i="4"/>
  <c r="A26" i="4"/>
  <c r="A10" i="4"/>
  <c r="A52" i="4" a="1"/>
  <c r="A41" i="4"/>
  <c r="A25" i="4"/>
  <c r="A9" i="4"/>
  <c r="A36" i="4"/>
  <c r="A4" i="4"/>
  <c r="A16" i="2"/>
  <c r="A32" i="2"/>
  <c r="A9" i="2"/>
  <c r="A25" i="2"/>
  <c r="A11" i="2"/>
  <c r="A6" i="2"/>
  <c r="A22" i="2"/>
  <c r="A38" i="2"/>
  <c r="A40" i="3" a="1"/>
  <c r="A32" i="3" a="1"/>
  <c r="A24" i="3" a="1"/>
  <c r="A47" i="1" a="1"/>
  <c r="A48" i="1" a="1"/>
  <c r="A45" i="1" a="1"/>
  <c r="A3" i="1" a="1"/>
  <c r="A44" i="2"/>
  <c r="A39" i="2"/>
  <c r="A48" i="2" a="1"/>
  <c r="A56" i="2" a="1"/>
  <c r="A57" i="2" a="1"/>
  <c r="A55" i="4" a="1"/>
  <c r="A47" i="4" a="1"/>
  <c r="A31" i="4"/>
  <c r="A15" i="4"/>
  <c r="A28" i="4"/>
  <c r="A46" i="4"/>
  <c r="A30" i="4"/>
  <c r="A14" i="4"/>
  <c r="A54" i="4" a="1"/>
  <c r="A45" i="4"/>
  <c r="A29" i="4"/>
  <c r="A13" i="4"/>
  <c r="A40" i="4"/>
  <c r="A16" i="4"/>
  <c r="A12" i="2"/>
  <c r="A28" i="2"/>
  <c r="A5" i="2"/>
  <c r="A21" i="2"/>
  <c r="A37" i="2"/>
  <c r="A35" i="2"/>
  <c r="A18" i="2"/>
  <c r="A34" i="2"/>
  <c r="A31" i="2"/>
  <c r="A34" i="3" a="1"/>
  <c r="A26" i="3" a="1"/>
  <c r="A18" i="3" a="1"/>
  <c r="A10" i="3" a="1"/>
  <c r="A43" i="3" a="1"/>
  <c r="A19" i="3" a="1"/>
  <c r="A11" i="3" a="1"/>
  <c r="A3" i="3" a="1"/>
  <c r="A44" i="3" a="1"/>
  <c r="A47" i="3" a="1"/>
  <c r="A35" i="3" a="1"/>
  <c r="A27" i="3" a="1"/>
  <c r="A12" i="1" a="1"/>
  <c r="A20" i="1" a="1"/>
  <c r="A28" i="1" a="1"/>
  <c r="A36" i="1" a="1"/>
  <c r="A44" i="1" a="1"/>
  <c r="A11" i="1" a="1"/>
  <c r="A19" i="1" a="1"/>
  <c r="A29" i="1" a="1"/>
  <c r="A37" i="1" a="1"/>
  <c r="A7" i="1" a="1"/>
  <c r="A16" i="3" a="1"/>
  <c r="A8" i="3" a="1"/>
  <c r="A41" i="3" a="1"/>
  <c r="A17" i="3" a="1"/>
  <c r="A9" i="3" a="1"/>
  <c r="A50" i="3" a="1"/>
  <c r="A42" i="3" a="1"/>
  <c r="A45" i="3" a="1"/>
  <c r="A33" i="3" a="1"/>
  <c r="A25" i="3" a="1"/>
  <c r="A14" i="1" a="1"/>
  <c r="A22" i="1" a="1"/>
  <c r="A30" i="1" a="1"/>
  <c r="A38" i="1" a="1"/>
  <c r="A23" i="1" a="1"/>
  <c r="A13" i="1" a="1"/>
  <c r="A21" i="1" a="1"/>
  <c r="A31" i="1" a="1"/>
  <c r="A39" i="1" a="1"/>
  <c r="A5" i="1" a="1"/>
  <c r="A51" i="1" a="1"/>
  <c r="A41" i="2"/>
  <c r="A46" i="2"/>
  <c r="A52" i="2" a="1"/>
  <c r="A49" i="2" a="1"/>
  <c r="A55" i="2" a="1"/>
  <c r="A51" i="4" a="1"/>
  <c r="A39" i="4"/>
  <c r="A23" i="4"/>
  <c r="A7" i="4"/>
  <c r="A12" i="4"/>
  <c r="A38" i="4"/>
  <c r="A22" i="4"/>
  <c r="A6" i="4"/>
  <c r="A50" i="4" a="1"/>
  <c r="A37" i="4"/>
  <c r="A21" i="4"/>
  <c r="A5" i="4"/>
  <c r="A32" i="4"/>
  <c r="A4" i="2"/>
  <c r="A20" i="2"/>
  <c r="A36" i="2"/>
  <c r="A13" i="2"/>
  <c r="A29" i="2"/>
  <c r="A15" i="2"/>
  <c r="A10" i="2"/>
  <c r="A26" i="2"/>
  <c r="A7" i="2"/>
  <c r="A38" i="3" a="1"/>
  <c r="A30" i="3" a="1"/>
  <c r="A22" i="3" a="1"/>
  <c r="A14" i="3" a="1"/>
  <c r="A6" i="3" a="1"/>
  <c r="A23" i="3" a="1"/>
  <c r="A15" i="3" a="1"/>
  <c r="A7" i="3" a="1"/>
  <c r="A48" i="3" a="1"/>
  <c r="A51" i="3" a="1"/>
  <c r="A39" i="3" a="1"/>
  <c r="A31" i="3" a="1"/>
  <c r="A8" i="1" a="1"/>
  <c r="A16" i="1" a="1"/>
  <c r="A24" i="1" a="1"/>
  <c r="A32" i="1" a="1"/>
  <c r="A40" i="1" a="1"/>
  <c r="A43" i="1" a="1"/>
  <c r="A15" i="1" a="1"/>
  <c r="A25" i="1" a="1"/>
  <c r="A33" i="1" a="1"/>
  <c r="A41" i="1" a="1"/>
  <c r="A6" i="1" a="1"/>
  <c r="A49" i="1" a="1"/>
  <c r="A40" i="2"/>
  <c r="A45" i="2"/>
  <c r="A3" i="2"/>
  <c r="A54" i="2" a="1"/>
  <c r="A35" i="4"/>
  <c r="A34" i="4"/>
  <c r="A33" i="4"/>
  <c r="A8" i="2"/>
  <c r="A33" i="2"/>
  <c r="A19" i="2"/>
  <c r="A12" i="3" a="1"/>
  <c r="A5" i="3" a="1"/>
  <c r="A29" i="3" a="1"/>
  <c r="A34" i="1" a="1"/>
  <c r="A27" i="1" a="1"/>
  <c r="A53" i="2" a="1"/>
  <c r="A19" i="4"/>
  <c r="A18" i="4"/>
  <c r="A17" i="4"/>
  <c r="A24" i="2"/>
  <c r="A27" i="2"/>
  <c r="A36" i="3" a="1"/>
  <c r="A4" i="3" a="1"/>
  <c r="A46" i="3" a="1"/>
  <c r="A10" i="1" a="1"/>
  <c r="A42" i="1" a="1"/>
  <c r="A35" i="1" a="1"/>
  <c r="A57" i="4" a="1"/>
  <c r="A3" i="4"/>
  <c r="A56" i="4" a="1"/>
  <c r="A44" i="4"/>
  <c r="A23" i="2"/>
  <c r="A14" i="2"/>
  <c r="A28" i="3" a="1"/>
  <c r="A21" i="3" a="1"/>
  <c r="A18" i="1" a="1"/>
  <c r="A9" i="1" a="1"/>
  <c r="A4" i="1" a="1"/>
  <c r="A49" i="4" a="1"/>
  <c r="A8" i="4"/>
  <c r="A48" i="4" a="1"/>
  <c r="A24" i="4"/>
  <c r="A30" i="2"/>
  <c r="A20" i="3" a="1"/>
  <c r="A13" i="3" a="1"/>
  <c r="A26" i="1" a="1"/>
  <c r="A49" i="3" a="1"/>
  <c r="A17" i="2"/>
  <c r="A37" i="3" a="1"/>
  <c r="A17" i="1" a="1"/>
  <c r="A17" i="1" l="1"/>
  <c r="A37" i="3"/>
  <c r="A49" i="3"/>
  <c r="A26" i="1"/>
  <c r="A13" i="3"/>
  <c r="A20" i="3"/>
  <c r="A48" i="4"/>
  <c r="A49" i="4"/>
  <c r="A4" i="1"/>
  <c r="A9" i="1"/>
  <c r="A18" i="1"/>
  <c r="A21" i="3"/>
  <c r="A28" i="3"/>
  <c r="A56" i="4"/>
  <c r="A57" i="4"/>
  <c r="A35" i="1"/>
  <c r="A42" i="1"/>
  <c r="A10" i="1"/>
  <c r="A46" i="3"/>
  <c r="A4" i="3"/>
  <c r="A36" i="3"/>
  <c r="A53" i="2"/>
  <c r="A27" i="1"/>
  <c r="A34" i="1"/>
  <c r="A29" i="3"/>
  <c r="A5" i="3"/>
  <c r="A12" i="3"/>
  <c r="A54" i="2"/>
  <c r="A49" i="1"/>
  <c r="A6" i="1"/>
  <c r="A41" i="1"/>
  <c r="A33" i="1"/>
  <c r="A25" i="1"/>
  <c r="A15" i="1"/>
  <c r="A43" i="1"/>
  <c r="A40" i="1"/>
  <c r="A32" i="1"/>
  <c r="A24" i="1"/>
  <c r="A16" i="1"/>
  <c r="A8" i="1"/>
  <c r="A31" i="3"/>
  <c r="A39" i="3"/>
  <c r="A51" i="3"/>
  <c r="A48" i="3"/>
  <c r="A7" i="3"/>
  <c r="A15" i="3"/>
  <c r="A23" i="3"/>
  <c r="A6" i="3"/>
  <c r="A14" i="3"/>
  <c r="A22" i="3"/>
  <c r="A30" i="3"/>
  <c r="A38" i="3"/>
  <c r="A50" i="4"/>
  <c r="A51" i="4"/>
  <c r="A55" i="2"/>
  <c r="A49" i="2"/>
  <c r="A52" i="2"/>
  <c r="A51" i="1"/>
  <c r="A5" i="1"/>
  <c r="A39" i="1"/>
  <c r="A31" i="1"/>
  <c r="A21" i="1"/>
  <c r="A13" i="1"/>
  <c r="A23" i="1"/>
  <c r="A38" i="1"/>
  <c r="A30" i="1"/>
  <c r="A22" i="1"/>
  <c r="A14" i="1"/>
  <c r="A25" i="3"/>
  <c r="A33" i="3"/>
  <c r="A45" i="3"/>
  <c r="A42" i="3"/>
  <c r="A50" i="3"/>
  <c r="A9" i="3"/>
  <c r="A17" i="3"/>
  <c r="A41" i="3"/>
  <c r="A8" i="3"/>
  <c r="A16" i="3"/>
  <c r="A7" i="1"/>
  <c r="A37" i="1"/>
  <c r="A29" i="1"/>
  <c r="A19" i="1"/>
  <c r="A11" i="1"/>
  <c r="A44" i="1"/>
  <c r="A36" i="1"/>
  <c r="A28" i="1"/>
  <c r="A20" i="1"/>
  <c r="A12" i="1"/>
  <c r="A27" i="3"/>
  <c r="A35" i="3"/>
  <c r="A47" i="3"/>
  <c r="A44" i="3"/>
  <c r="A3" i="3"/>
  <c r="A11" i="3"/>
  <c r="A19" i="3"/>
  <c r="A43" i="3"/>
  <c r="A10" i="3"/>
  <c r="A18" i="3"/>
  <c r="A26" i="3"/>
  <c r="A34" i="3"/>
  <c r="A54" i="4"/>
  <c r="A47" i="4"/>
  <c r="A55" i="4"/>
  <c r="A57" i="2"/>
  <c r="A56" i="2"/>
  <c r="A48" i="2"/>
  <c r="A3" i="1"/>
  <c r="A45" i="1"/>
  <c r="A48" i="1"/>
  <c r="A47" i="1"/>
  <c r="A24" i="3"/>
  <c r="A32" i="3"/>
  <c r="A40" i="3"/>
  <c r="A52" i="4"/>
  <c r="A53" i="4"/>
  <c r="A51" i="2"/>
  <c r="A47" i="2"/>
  <c r="A50" i="2"/>
  <c r="A46" i="1"/>
  <c r="A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<sst xmlns="http://schemas.openxmlformats.org/spreadsheetml/2006/main" count="181" uniqueCount="15">
  <si>
    <t>C:\Users\tnjer\Google Drive (tjwong@g.ucla.edu)\21 Invierno\162D\CAD Parts\module_assembly\*</t>
  </si>
  <si>
    <t>yay</t>
  </si>
  <si>
    <t>C:\Users\tnjer\Google Drive (tjwong@g.ucla.edu)\21 Invierno\162D\CAD Parts\submodule_assembly\*</t>
  </si>
  <si>
    <t>bom</t>
  </si>
  <si>
    <t>notes</t>
  </si>
  <si>
    <t>we have drawing?</t>
  </si>
  <si>
    <t>this is 8412K460</t>
  </si>
  <si>
    <t>combined into working in-line ball joint one drawing</t>
  </si>
  <si>
    <t>this is 6960T61</t>
  </si>
  <si>
    <t>combined into 6960T61</t>
  </si>
  <si>
    <t>one file, multiple configurations</t>
  </si>
  <si>
    <t>exploded</t>
  </si>
  <si>
    <t>in report</t>
  </si>
  <si>
    <t>n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</si>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</sst>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Calibri"/>
      <family val="2"/>
      <scheme val="minor"/>
    </font>
    <font>
      <sz val="14"/>
      <color rgb="FF0000FF"/>
      <name val="Inherit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 applyAlignment="1">
      <alignment horizontal="left" vertical="center" indent="2"/>
    </xf>
    <xf numFmtId="0" fontId="0" fillId="0" borderId="0" xfId="0" applyFont="1"/>
    <xf numFmtId="0" fontId="0" fillId="2" borderId="0" xfId="0" applyFill="1"/>
    <xf numFmtId="0" fontId="0" fillId="0" borderId="0" xfId="0" applyFill="1"/>
    <xf numFmtId="0" fontId="2" fillId="0" borderId="0" xfId="0" applyFont="1" applyFill="1"/>
    <xf numFmtId="0" fontId="2" fillId="2" borderId="0" xfId="0" applyFont="1" applyFill="1"/>
    <xf numFmtId="0" fontId="0" fillId="0" borderId="0" xfId="0" applyAlignment="1">
      <alignment horizontal="center" vertical="center" wrapText="1"/>
    </xf>
  </cellXfs>
  <cellStyles count="1">
    <cellStyle name="Normal" xfId="0" builtinId="0"/>
  </cellStyles>
  <dxfs count="6"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D1661-454C-4AEE-97E6-B1B75071C166}">
  <dimension ref="A1:F51"/>
  <sheetViews>
    <sheetView tabSelected="1" zoomScale="90" zoomScaleNormal="90" workbookViewId="0">
      <selection activeCell="F20" sqref="F20"/>
    </sheetView>
  </sheetViews>
  <sheetFormatPr defaultRowHeight="15"/>
  <cols>
    <col min="1" max="1" width="54.85546875" style="2" customWidth="1"/>
    <col min="3" max="3" width="26.28515625" customWidth="1"/>
  </cols>
  <sheetData>
    <row r="1" spans="1:6">
      <c r="A1" s="2" t="s">
        <v>0</v>
      </c>
      <c r="B1" t="s">
        <v>5</v>
      </c>
      <c r="C1" t="s">
        <v>4</v>
      </c>
      <c r="D1" t="s">
        <v>3</v>
      </c>
      <c r="E1" t="s">
        <v>11</v>
      </c>
      <c r="F1" t="s">
        <v>12</v>
      </c>
    </row>
    <row r="2" spans="1:6" ht="18">
      <c r="A2" s="1"/>
    </row>
    <row r="3" spans="1:6">
      <c r="A3" s="2" t="str" cm="1">
        <f t="array" ref="A3">IFERROR(INDEX(FileNameList,ROW()-2),"")</f>
        <v>30555T31_RUBBER-CUSHIONED U-BOLT.SLDPRT</v>
      </c>
      <c r="B3" t="s">
        <v>1</v>
      </c>
      <c r="D3" t="s">
        <v>1</v>
      </c>
    </row>
    <row r="4" spans="1:6">
      <c r="A4" s="2" t="str" cm="1">
        <f t="array" ref="A4">IFERROR(INDEX(FileNameList,ROW()-2),"")</f>
        <v>3313N769_ HIGH STRENGTH STEEL THREADED ROD.SLDPRT</v>
      </c>
      <c r="B4" t="s">
        <v>1</v>
      </c>
      <c r="D4" t="s">
        <v>1</v>
      </c>
    </row>
    <row r="5" spans="1:6">
      <c r="A5" s="2" t="str" cm="1">
        <f t="array" ref="A5">IFERROR(INDEX(FileNameList,ROW()-2),"")</f>
        <v>6960T610_SUPER-SWIVEL BALL JOINT ROD END.SLDPRT</v>
      </c>
      <c r="B5" t="s">
        <v>1</v>
      </c>
      <c r="C5" t="s">
        <v>9</v>
      </c>
      <c r="D5" t="s">
        <v>1</v>
      </c>
    </row>
    <row r="6" spans="1:6">
      <c r="A6" s="2" t="str" cm="1">
        <f t="array" ref="A6">IFERROR(INDEX(FileNameList,ROW()-2),"")</f>
        <v>91309A542_LOW-STRENGTH ZINC-PLATED STEEL CAP SCREW.SLDPRT</v>
      </c>
      <c r="B6" t="s">
        <v>1</v>
      </c>
      <c r="D6" t="s">
        <v>1</v>
      </c>
    </row>
    <row r="7" spans="1:6">
      <c r="A7" s="2" t="str" cm="1">
        <f t="array" ref="A7">IFERROR(INDEX(FileNameList,ROW()-2),"")</f>
        <v>91831A011_TYPE 18-8 STAINLESS STL NYLON-INSERT LOCKNUT.SLDPRT</v>
      </c>
      <c r="B7" t="s">
        <v>1</v>
      </c>
      <c r="D7" t="s">
        <v>1</v>
      </c>
    </row>
    <row r="8" spans="1:6">
      <c r="A8" s="2" t="str" cm="1">
        <f t="array" ref="A8">IFERROR(INDEX(FileNameList,ROW()-2),"")</f>
        <v>91831A029_TYPE 18-8 STAINLESS STL NYLON-INSERT LOCKNUT.SLDPRT</v>
      </c>
      <c r="B8" t="s">
        <v>1</v>
      </c>
      <c r="D8" t="s">
        <v>1</v>
      </c>
    </row>
    <row r="9" spans="1:6">
      <c r="A9" s="2" t="str" cm="1">
        <f t="array" ref="A9">IFERROR(INDEX(FileNameList,ROW()-2),"")</f>
        <v>92141A029_TYPE 18-8 STAINLESS STEEL FLAT WASHER.SLDPRT</v>
      </c>
      <c r="B9" t="s">
        <v>1</v>
      </c>
      <c r="D9" t="s">
        <v>1</v>
      </c>
    </row>
    <row r="10" spans="1:6">
      <c r="A10" s="2" t="str" cm="1">
        <f t="array" ref="A10">IFERROR(INDEX(FileNameList,ROW()-2),"")</f>
        <v>92196A242_18-8 STAINLESS STEEL SOCKET HEAD SCREW.SLDPRT</v>
      </c>
      <c r="B10" t="s">
        <v>1</v>
      </c>
      <c r="D10" t="s">
        <v>1</v>
      </c>
    </row>
    <row r="11" spans="1:6">
      <c r="A11" s="2" t="str" cm="1">
        <f t="array" ref="A11">IFERROR(INDEX(FileNameList,ROW()-2),"")</f>
        <v>92196A542_18-8 STAINLESS STEEL SOCKET HEAD SCREW.SLDPRT</v>
      </c>
      <c r="B11" t="s">
        <v>1</v>
      </c>
      <c r="D11" t="s">
        <v>1</v>
      </c>
    </row>
    <row r="12" spans="1:6">
      <c r="A12" s="2" t="str" cm="1">
        <f t="array" ref="A12">IFERROR(INDEX(FileNameList,ROW()-2),"")</f>
        <v>95462A029_GRADE 5 STEEL HEX NUT.SLDPRT</v>
      </c>
      <c r="B12" t="s">
        <v>1</v>
      </c>
      <c r="D12" t="s">
        <v>1</v>
      </c>
    </row>
    <row r="13" spans="1:6">
      <c r="A13" s="2" t="str" cm="1">
        <f t="array" ref="A13">IFERROR(INDEX(FileNameList,ROW()-2),"")</f>
        <v>95505A613_GRADE 5 STEEL HEX NUT.SLDPRT</v>
      </c>
      <c r="B13" t="s">
        <v>1</v>
      </c>
      <c r="D13" t="s">
        <v>1</v>
      </c>
    </row>
    <row r="14" spans="1:6">
      <c r="A14" s="2" t="str" cm="1">
        <f t="array" ref="A14">IFERROR(INDEX(FileNameList,ROW()-2),"")</f>
        <v>Adafruit LIS3MDL + LSM6DSOX (3D).step</v>
      </c>
      <c r="B14" t="s">
        <v>1</v>
      </c>
      <c r="D14" t="s">
        <v>1</v>
      </c>
    </row>
    <row r="15" spans="1:6">
      <c r="A15" s="2" t="str" cm="1">
        <f t="array" ref="A15">IFERROR(INDEX(FileNameList,ROW()-2),"")</f>
        <v>arduinoUno.SLDPRT</v>
      </c>
      <c r="B15" t="s">
        <v>1</v>
      </c>
      <c r="D15" t="s">
        <v>1</v>
      </c>
    </row>
    <row r="16" spans="1:6">
      <c r="A16" s="2" t="str" cm="1">
        <f t="array" ref="A16">IFERROR(INDEX(FileNameList,ROW()-2),"")</f>
        <v>Battery.SLDPRT</v>
      </c>
      <c r="B16" t="s">
        <v>1</v>
      </c>
      <c r="D16" t="s">
        <v>1</v>
      </c>
    </row>
    <row r="17" spans="1:6" s="5" customFormat="1">
      <c r="A17" s="2" t="str" cm="1">
        <f t="array" ref="A17">IFERROR(INDEX(FileNameList,ROW()-2),"")</f>
        <v>chassis.SLDASM</v>
      </c>
      <c r="B17" s="5" t="s">
        <v>1</v>
      </c>
      <c r="E17" s="5" t="s">
        <v>1</v>
      </c>
      <c r="F17" s="5" t="s">
        <v>14</v>
      </c>
    </row>
    <row r="18" spans="1:6">
      <c r="A18" s="2" t="str" cm="1">
        <f t="array" ref="A18">IFERROR(INDEX(FileNameList,ROW()-2),"")</f>
        <v>chassis_bot.SLDPRT</v>
      </c>
      <c r="B18" t="s">
        <v>1</v>
      </c>
      <c r="C18" s="7" t="s">
        <v>10</v>
      </c>
      <c r="D18" t="s">
        <v>1</v>
      </c>
      <c r="F18" t="s">
        <v>14</v>
      </c>
    </row>
    <row r="19" spans="1:6">
      <c r="A19" s="2" t="str" cm="1">
        <f t="array" ref="A19">IFERROR(INDEX(FileNameList,ROW()-2),"")</f>
        <v>chassis_top.SLDPRT</v>
      </c>
      <c r="B19" t="s">
        <v>1</v>
      </c>
      <c r="C19" s="7"/>
      <c r="D19" t="s">
        <v>1</v>
      </c>
      <c r="F19" t="s">
        <v>14</v>
      </c>
    </row>
    <row r="20" spans="1:6" s="5" customFormat="1">
      <c r="A20" s="2" t="str" cm="1">
        <f t="array" ref="A20">IFERROR(INDEX(FileNameList,ROW()-2),"")</f>
        <v>Corner Mount.SLDASM</v>
      </c>
      <c r="B20" s="5" t="s">
        <v>1</v>
      </c>
      <c r="E20" s="5" t="s">
        <v>1</v>
      </c>
      <c r="F20" s="5" t="s">
        <v>13</v>
      </c>
    </row>
    <row r="21" spans="1:6">
      <c r="A21" s="2" t="str" cm="1">
        <f t="array" ref="A21">IFERROR(INDEX(FileNameList,ROW()-2),"")</f>
        <v>CPU Housing.SLDPRT</v>
      </c>
      <c r="B21" t="s">
        <v>1</v>
      </c>
      <c r="D21" t="s">
        <v>1</v>
      </c>
      <c r="F21" t="s">
        <v>14</v>
      </c>
    </row>
    <row r="22" spans="1:6">
      <c r="A22" s="2" t="str" cm="1">
        <f t="array" ref="A22">IFERROR(INDEX(FileNameList,ROW()-2),"")</f>
        <v>d24v22fx-step-down-voltage-regulator.step</v>
      </c>
      <c r="B22" s="6"/>
      <c r="C22" s="5"/>
      <c r="D22" s="5"/>
    </row>
    <row r="23" spans="1:6">
      <c r="A23" s="2" t="str" cm="1">
        <f t="array" ref="A23">IFERROR(INDEX(FileNameList,ROW()-2),"")</f>
        <v>d24v22fx-step-down-voltage-regulator.step.SLDPRT</v>
      </c>
      <c r="B23" t="s">
        <v>1</v>
      </c>
      <c r="D23" t="s">
        <v>1</v>
      </c>
    </row>
    <row r="24" spans="1:6" s="5" customFormat="1">
      <c r="A24" s="2" t="str" cm="1">
        <f t="array" ref="A24">IFERROR(INDEX(FileNameList,ROW()-2),"")</f>
        <v>ElectricHousingFULL.SLDASM</v>
      </c>
      <c r="B24" s="5" t="s">
        <v>1</v>
      </c>
      <c r="E24" s="5" t="s">
        <v>1</v>
      </c>
      <c r="F24" s="5" t="s">
        <v>14</v>
      </c>
    </row>
    <row r="25" spans="1:6">
      <c r="A25" s="2" t="str" cm="1">
        <f t="array" ref="A25">IFERROR(INDEX(FileNameList,ROW()-2),"")</f>
        <v>ESC Placeholder.SLDPRT</v>
      </c>
      <c r="B25" t="s">
        <v>1</v>
      </c>
      <c r="D25" t="s">
        <v>1</v>
      </c>
    </row>
    <row r="26" spans="1:6">
      <c r="A26" s="2" t="str" cm="1">
        <f t="array" ref="A26">IFERROR(INDEX(FileNameList,ROW()-2),"")</f>
        <v>foam_battery.SLDPRT</v>
      </c>
      <c r="B26" t="s">
        <v>1</v>
      </c>
      <c r="D26" t="s">
        <v>1</v>
      </c>
      <c r="F26" t="s">
        <v>14</v>
      </c>
    </row>
    <row r="27" spans="1:6">
      <c r="A27" s="2" t="str" cm="1">
        <f t="array" ref="A27">IFERROR(INDEX(FileNameList,ROW()-2),"")</f>
        <v>foam_ESC.SLDPRT</v>
      </c>
      <c r="B27" t="s">
        <v>1</v>
      </c>
      <c r="D27" t="s">
        <v>1</v>
      </c>
      <c r="F27" t="s">
        <v>14</v>
      </c>
    </row>
    <row r="28" spans="1:6">
      <c r="A28" s="2" t="str" cm="1">
        <f t="array" ref="A28">IFERROR(INDEX(FileNameList,ROW()-2),"")</f>
        <v>In-Line Ball Joint Receiver.SLDPRT</v>
      </c>
      <c r="B28" t="s">
        <v>1</v>
      </c>
      <c r="C28" s="7" t="s">
        <v>7</v>
      </c>
      <c r="D28" t="s">
        <v>1</v>
      </c>
    </row>
    <row r="29" spans="1:6">
      <c r="A29" s="2" t="str" cm="1">
        <f t="array" ref="A29">IFERROR(INDEX(FileNameList,ROW()-2),"")</f>
        <v>In-Line Ball Joint.SLDPRT</v>
      </c>
      <c r="B29" t="s">
        <v>1</v>
      </c>
      <c r="C29" s="7"/>
      <c r="D29" t="s">
        <v>1</v>
      </c>
    </row>
    <row r="30" spans="1:6">
      <c r="A30" s="2" t="str" cm="1">
        <f t="array" ref="A30">IFERROR(INDEX(FileNameList,ROW()-2),"")</f>
        <v>m16x1-5_gland.SLDPRT</v>
      </c>
      <c r="B30" t="s">
        <v>1</v>
      </c>
      <c r="D30" t="s">
        <v>1</v>
      </c>
    </row>
    <row r="31" spans="1:6" s="5" customFormat="1">
      <c r="A31" s="2" t="str" cm="1">
        <f t="array" ref="A31">IFERROR(INDEX(FileNameList,ROW()-2),"")</f>
        <v>m16x1-5_gland.stp</v>
      </c>
      <c r="B31" s="6"/>
    </row>
    <row r="32" spans="1:6">
      <c r="A32" s="2" t="str" cm="1">
        <f t="array" ref="A32">IFERROR(INDEX(FileNameList,ROW()-2),"")</f>
        <v>Male DC-Power-to-Screw-Terminals-Adapter.SLDPRT</v>
      </c>
      <c r="B32" t="s">
        <v>1</v>
      </c>
      <c r="D32" t="s">
        <v>1</v>
      </c>
    </row>
    <row r="33" spans="1:6" s="5" customFormat="1">
      <c r="A33" s="2" t="str" cm="1">
        <f t="array" ref="A33">IFERROR(INDEX(FileNameList,ROW()-2),"")</f>
        <v>module_assembly.SLDASM</v>
      </c>
      <c r="B33" s="5" t="s">
        <v>1</v>
      </c>
      <c r="F33" s="5" t="s">
        <v>14</v>
      </c>
    </row>
    <row r="34" spans="1:6">
      <c r="A34" s="2" t="str" cm="1">
        <f t="array" ref="A34">IFERROR(INDEX(FileNameList,ROW()-2),"")</f>
        <v>on_off_button.SLDPRT</v>
      </c>
      <c r="B34" t="s">
        <v>1</v>
      </c>
      <c r="D34" t="s">
        <v>1</v>
      </c>
    </row>
    <row r="35" spans="1:6" s="5" customFormat="1">
      <c r="A35" s="2" t="str" cm="1">
        <f t="array" ref="A35">IFERROR(INDEX(FileNameList,ROW()-2),"")</f>
        <v>Pipe Fitting Assembly.SLDASM</v>
      </c>
      <c r="B35" s="5" t="s">
        <v>1</v>
      </c>
      <c r="E35" s="5" t="s">
        <v>1</v>
      </c>
      <c r="F35" s="5" t="s">
        <v>14</v>
      </c>
    </row>
    <row r="36" spans="1:6">
      <c r="A36" s="2" t="str" cm="1">
        <f t="array" ref="A36">IFERROR(INDEX(FileNameList,ROW()-2),"")</f>
        <v>Pipe Fitting Corner Mount.SLDPRT</v>
      </c>
      <c r="B36" t="s">
        <v>1</v>
      </c>
      <c r="D36" t="s">
        <v>1</v>
      </c>
      <c r="F36" t="s">
        <v>14</v>
      </c>
    </row>
    <row r="37" spans="1:6">
      <c r="A37" s="2" t="str" cm="1">
        <f t="array" ref="A37">IFERROR(INDEX(FileNameList,ROW()-2),"")</f>
        <v>Pipe Fitting Hole.SLDPRT</v>
      </c>
      <c r="B37" s="3" t="s">
        <v>1</v>
      </c>
      <c r="D37" s="4" t="s">
        <v>1</v>
      </c>
      <c r="F37" s="5" t="s">
        <v>14</v>
      </c>
    </row>
    <row r="38" spans="1:6">
      <c r="A38" s="2" t="str" cm="1">
        <f t="array" ref="A38">IFERROR(INDEX(FileNameList,ROW()-2),"")</f>
        <v>Pipe Fitting.SLDPRT</v>
      </c>
      <c r="B38" t="s">
        <v>1</v>
      </c>
      <c r="D38" t="s">
        <v>1</v>
      </c>
      <c r="F38" t="s">
        <v>14</v>
      </c>
    </row>
    <row r="39" spans="1:6">
      <c r="A39" s="2" t="str" cm="1">
        <f t="array" ref="A39">IFERROR(INDEX(FileNameList,ROW()-2),"")</f>
        <v>Powerfun EDF 70mm.SLDPRT</v>
      </c>
      <c r="B39" t="s">
        <v>1</v>
      </c>
      <c r="D39" t="s">
        <v>1</v>
      </c>
    </row>
    <row r="40" spans="1:6">
      <c r="A40" s="2" t="str" cm="1">
        <f t="array" ref="A40">IFERROR(INDEX(FileNameList,ROW()-2),"")</f>
        <v>Super Swivel Ball 3 Quarters Inch.SLDPRT</v>
      </c>
      <c r="B40" t="str">
        <f>B5</f>
        <v>yay</v>
      </c>
      <c r="C40" t="s">
        <v>9</v>
      </c>
      <c r="D40" t="s">
        <v>1</v>
      </c>
    </row>
    <row r="41" spans="1:6" s="5" customFormat="1">
      <c r="A41" s="2" t="str" cm="1">
        <f t="array" ref="A41">IFERROR(INDEX(FileNameList,ROW()-2),"")</f>
        <v>Underside Chassis Mount Inline V2.SLDASM</v>
      </c>
      <c r="B41" s="5" t="s">
        <v>1</v>
      </c>
      <c r="E41" s="5" t="s">
        <v>1</v>
      </c>
      <c r="F41" s="5" t="s">
        <v>14</v>
      </c>
    </row>
    <row r="42" spans="1:6" s="5" customFormat="1">
      <c r="A42" s="2" t="str" cm="1">
        <f t="array" ref="A42">IFERROR(INDEX(FileNameList,ROW()-2),"")</f>
        <v>Working Ball Joint Rod End Three Quarters.SLDASM</v>
      </c>
      <c r="B42" s="5" t="s">
        <v>1</v>
      </c>
      <c r="C42" s="5" t="s">
        <v>8</v>
      </c>
    </row>
    <row r="43" spans="1:6" s="5" customFormat="1">
      <c r="A43" s="2" t="str" cm="1">
        <f t="array" ref="A43">IFERROR(INDEX(FileNameList,ROW()-2),"")</f>
        <v>Working In-line Ball Joint.SLDASM</v>
      </c>
      <c r="B43" s="5" t="s">
        <v>1</v>
      </c>
      <c r="C43" s="5" t="s">
        <v>6</v>
      </c>
    </row>
    <row r="44" spans="1:6">
      <c r="A44" s="2" t="str" cm="1">
        <f t="array" ref="A44">IFERROR(INDEX(FileNameList,ROW()-2),"")</f>
        <v/>
      </c>
    </row>
    <row r="45" spans="1:6">
      <c r="A45" s="2" t="str" cm="1">
        <f t="array" ref="A45">IFERROR(INDEX(FileNameList,ROW()-2),"")</f>
        <v/>
      </c>
    </row>
    <row r="46" spans="1:6">
      <c r="A46" s="2" t="str" cm="1">
        <f t="array" ref="A46">IFERROR(INDEX(FileNameList,ROW()-2),"")</f>
        <v/>
      </c>
    </row>
    <row r="47" spans="1:6">
      <c r="A47" s="2" t="str" cm="1">
        <f t="array" ref="A47">IFERROR(INDEX(FileNameList,ROW()-2),"")</f>
        <v/>
      </c>
    </row>
    <row r="48" spans="1:6">
      <c r="A48" s="2" t="str" cm="1">
        <f t="array" ref="A48">IFERROR(INDEX(FileNameList,ROW()-2),"")</f>
        <v/>
      </c>
    </row>
    <row r="49" spans="1:1">
      <c r="A49" s="2" t="str" cm="1">
        <f t="array" ref="A49">IFERROR(INDEX(FileNameList,ROW()-2),"")</f>
        <v/>
      </c>
    </row>
    <row r="50" spans="1:1">
      <c r="A50" s="2" t="str" cm="1">
        <f t="array" ref="A50">IFERROR(INDEX(FileNameList,ROW()-2),"")</f>
        <v/>
      </c>
    </row>
    <row r="51" spans="1:1">
      <c r="A51" s="2" t="str" cm="1">
        <f t="array" ref="A51">IFERROR(INDEX(FileNameList,ROW()-2),"")</f>
        <v/>
      </c>
    </row>
  </sheetData>
  <mergeCells count="2">
    <mergeCell ref="C28:C29"/>
    <mergeCell ref="C18:C19"/>
  </mergeCells>
  <conditionalFormatting sqref="B1:B1048576">
    <cfRule type="cellIs" dxfId="5" priority="1" operator="equal">
      <formula>"yay"</formula>
    </cfRule>
  </conditionalFormatting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DEC5E-86CC-4434-B3F7-0711E8E79B17}">
  <dimension ref="A1:D51"/>
  <sheetViews>
    <sheetView workbookViewId="0">
      <selection activeCell="G8" sqref="G8"/>
    </sheetView>
  </sheetViews>
  <sheetFormatPr defaultRowHeight="15"/>
  <cols>
    <col min="1" max="1" width="29.5703125" style="2" customWidth="1"/>
    <col min="3" max="3" width="26.28515625" customWidth="1"/>
  </cols>
  <sheetData>
    <row r="1" spans="1:4">
      <c r="A1" s="2" t="s">
        <v>0</v>
      </c>
      <c r="B1" t="s">
        <v>5</v>
      </c>
      <c r="C1" t="s">
        <v>4</v>
      </c>
      <c r="D1" t="s">
        <v>3</v>
      </c>
    </row>
    <row r="2" spans="1:4" ht="18">
      <c r="A2" s="1"/>
    </row>
    <row r="3" spans="1:4">
      <c r="A3" s="2" t="str" cm="1">
        <f t="array" ref="A3">IFERROR(INDEX(FileNameList,ROW()-2),"")</f>
        <v>30555T31_RUBBER-CUSHIONED U-BOLT.SLDPRT</v>
      </c>
      <c r="B3" t="s">
        <v>1</v>
      </c>
      <c r="D3" t="s">
        <v>1</v>
      </c>
    </row>
    <row r="4" spans="1:4">
      <c r="A4" s="2" t="str" cm="1">
        <f t="array" ref="A4">IFERROR(INDEX(FileNameList,ROW()-2),"")</f>
        <v>3313N769_ HIGH STRENGTH STEEL THREADED ROD.SLDPRT</v>
      </c>
      <c r="B4" t="s">
        <v>1</v>
      </c>
      <c r="D4" t="s">
        <v>1</v>
      </c>
    </row>
    <row r="5" spans="1:4">
      <c r="A5" s="2" t="str" cm="1">
        <f t="array" ref="A5">IFERROR(INDEX(FileNameList,ROW()-2),"")</f>
        <v>6960T610_SUPER-SWIVEL BALL JOINT ROD END.SLDPRT</v>
      </c>
      <c r="B5" t="s">
        <v>1</v>
      </c>
      <c r="C5" t="s">
        <v>9</v>
      </c>
      <c r="D5" t="s">
        <v>1</v>
      </c>
    </row>
    <row r="6" spans="1:4">
      <c r="A6" s="2" t="str" cm="1">
        <f t="array" ref="A6">IFERROR(INDEX(FileNameList,ROW()-2),"")</f>
        <v>91309A542_LOW-STRENGTH ZINC-PLATED STEEL CAP SCREW.SLDPRT</v>
      </c>
      <c r="B6" t="s">
        <v>1</v>
      </c>
      <c r="D6" t="s">
        <v>1</v>
      </c>
    </row>
    <row r="7" spans="1:4">
      <c r="A7" s="2" t="str" cm="1">
        <f t="array" ref="A7">IFERROR(INDEX(FileNameList,ROW()-2),"")</f>
        <v>91831A011_TYPE 18-8 STAINLESS STL NYLON-INSERT LOCKNUT.SLDPRT</v>
      </c>
      <c r="B7" t="s">
        <v>1</v>
      </c>
      <c r="D7" t="s">
        <v>1</v>
      </c>
    </row>
    <row r="8" spans="1:4">
      <c r="A8" s="2" t="str" cm="1">
        <f t="array" ref="A8">IFERROR(INDEX(FileNameList,ROW()-2),"")</f>
        <v>91831A029_TYPE 18-8 STAINLESS STL NYLON-INSERT LOCKNUT.SLDPRT</v>
      </c>
      <c r="B8" t="s">
        <v>1</v>
      </c>
      <c r="D8" t="s">
        <v>1</v>
      </c>
    </row>
    <row r="9" spans="1:4">
      <c r="A9" s="2" t="str" cm="1">
        <f t="array" ref="A9">IFERROR(INDEX(FileNameList,ROW()-2),"")</f>
        <v>92141A029_TYPE 18-8 STAINLESS STEEL FLAT WASHER.SLDPRT</v>
      </c>
      <c r="B9" t="s">
        <v>1</v>
      </c>
      <c r="D9" t="s">
        <v>1</v>
      </c>
    </row>
    <row r="10" spans="1:4">
      <c r="A10" s="2" t="str" cm="1">
        <f t="array" ref="A10">IFERROR(INDEX(FileNameList,ROW()-2),"")</f>
        <v>92196A242_18-8 STAINLESS STEEL SOCKET HEAD SCREW.SLDPRT</v>
      </c>
      <c r="B10" t="s">
        <v>1</v>
      </c>
      <c r="D10" t="s">
        <v>1</v>
      </c>
    </row>
    <row r="11" spans="1:4">
      <c r="A11" s="2" t="str" cm="1">
        <f t="array" ref="A11">IFERROR(INDEX(FileNameList,ROW()-2),"")</f>
        <v>92196A542_18-8 STAINLESS STEEL SOCKET HEAD SCREW.SLDPRT</v>
      </c>
      <c r="B11" t="s">
        <v>1</v>
      </c>
      <c r="D11" t="s">
        <v>1</v>
      </c>
    </row>
    <row r="12" spans="1:4">
      <c r="A12" s="2" t="str" cm="1">
        <f t="array" ref="A12">IFERROR(INDEX(FileNameList,ROW()-2),"")</f>
        <v>95462A029_GRADE 5 STEEL HEX NUT.SLDPRT</v>
      </c>
      <c r="B12" t="s">
        <v>1</v>
      </c>
      <c r="D12" t="s">
        <v>1</v>
      </c>
    </row>
    <row r="13" spans="1:4">
      <c r="A13" s="2" t="str" cm="1">
        <f t="array" ref="A13">IFERROR(INDEX(FileNameList,ROW()-2),"")</f>
        <v>95505A613_GRADE 5 STEEL HEX NUT.SLDPRT</v>
      </c>
      <c r="B13" t="s">
        <v>1</v>
      </c>
      <c r="D13" t="s">
        <v>1</v>
      </c>
    </row>
    <row r="14" spans="1:4">
      <c r="A14" s="2" t="str" cm="1">
        <f t="array" ref="A14">IFERROR(INDEX(FileNameList,ROW()-2),"")</f>
        <v>Adafruit LIS3MDL + LSM6DSOX (3D).step</v>
      </c>
      <c r="B14" t="s">
        <v>1</v>
      </c>
      <c r="D14" t="s">
        <v>1</v>
      </c>
    </row>
    <row r="15" spans="1:4">
      <c r="A15" s="2" t="str" cm="1">
        <f t="array" ref="A15">IFERROR(INDEX(FileNameList,ROW()-2),"")</f>
        <v>arduinoUno.SLDPRT</v>
      </c>
      <c r="B15" t="s">
        <v>1</v>
      </c>
      <c r="D15" t="s">
        <v>1</v>
      </c>
    </row>
    <row r="16" spans="1:4">
      <c r="A16" s="2" t="str" cm="1">
        <f t="array" ref="A16">IFERROR(INDEX(FileNameList,ROW()-2),"")</f>
        <v>Battery.SLDPRT</v>
      </c>
      <c r="B16" t="s">
        <v>1</v>
      </c>
      <c r="D16" t="s">
        <v>1</v>
      </c>
    </row>
    <row r="17" spans="1:4">
      <c r="A17" s="2" t="str" cm="1">
        <f t="array" ref="A17">IFERROR(INDEX(FileNameList,ROW()-2),"")</f>
        <v>chassis.SLDASM</v>
      </c>
      <c r="B17" s="5" t="s">
        <v>1</v>
      </c>
      <c r="C17" s="5"/>
      <c r="D17" s="5"/>
    </row>
    <row r="18" spans="1:4">
      <c r="A18" s="2" t="str" cm="1">
        <f t="array" ref="A18">IFERROR(INDEX(FileNameList,ROW()-2),"")</f>
        <v>chassis_bot.SLDPRT</v>
      </c>
      <c r="B18" t="s">
        <v>1</v>
      </c>
      <c r="C18" s="7" t="s">
        <v>10</v>
      </c>
      <c r="D18" t="s">
        <v>1</v>
      </c>
    </row>
    <row r="19" spans="1:4">
      <c r="A19" s="2" t="str" cm="1">
        <f t="array" ref="A19">IFERROR(INDEX(FileNameList,ROW()-2),"")</f>
        <v>chassis_top.SLDPRT</v>
      </c>
      <c r="B19" t="s">
        <v>1</v>
      </c>
      <c r="C19" s="7"/>
      <c r="D19" t="s">
        <v>1</v>
      </c>
    </row>
    <row r="20" spans="1:4">
      <c r="A20" s="2" t="str" cm="1">
        <f t="array" ref="A20">IFERROR(INDEX(FileNameList,ROW()-2),"")</f>
        <v>Corner Mount.SLDASM</v>
      </c>
      <c r="B20" s="5" t="s">
        <v>1</v>
      </c>
      <c r="C20" s="5"/>
      <c r="D20" s="5"/>
    </row>
    <row r="21" spans="1:4">
      <c r="A21" s="2" t="str" cm="1">
        <f t="array" ref="A21">IFERROR(INDEX(FileNameList,ROW()-2),"")</f>
        <v>CPU Housing.SLDPRT</v>
      </c>
      <c r="B21" t="s">
        <v>1</v>
      </c>
      <c r="D21" t="s">
        <v>1</v>
      </c>
    </row>
    <row r="22" spans="1:4">
      <c r="A22" s="2" t="str" cm="1">
        <f t="array" ref="A22">IFERROR(INDEX(FileNameList,ROW()-2),"")</f>
        <v>d24v22fx-step-down-voltage-regulator.step</v>
      </c>
      <c r="B22" s="6"/>
      <c r="C22" s="5"/>
      <c r="D22" s="5"/>
    </row>
    <row r="23" spans="1:4">
      <c r="A23" s="2" t="str" cm="1">
        <f t="array" ref="A23">IFERROR(INDEX(FileNameList,ROW()-2),"")</f>
        <v>d24v22fx-step-down-voltage-regulator.step.SLDPRT</v>
      </c>
      <c r="B23" t="s">
        <v>1</v>
      </c>
      <c r="D23" t="s">
        <v>1</v>
      </c>
    </row>
    <row r="24" spans="1:4">
      <c r="A24" s="2" t="str" cm="1">
        <f t="array" ref="A24">IFERROR(INDEX(FileNameList,ROW()-2),"")</f>
        <v>ElectricHousingFULL.SLDASM</v>
      </c>
      <c r="B24" s="5" t="s">
        <v>1</v>
      </c>
      <c r="C24" s="5"/>
      <c r="D24" s="5"/>
    </row>
    <row r="25" spans="1:4">
      <c r="A25" s="2" t="str" cm="1">
        <f t="array" ref="A25">IFERROR(INDEX(FileNameList,ROW()-2),"")</f>
        <v>ESC Placeholder.SLDPRT</v>
      </c>
      <c r="B25" t="s">
        <v>1</v>
      </c>
      <c r="D25" t="s">
        <v>1</v>
      </c>
    </row>
    <row r="26" spans="1:4">
      <c r="A26" s="2" t="str" cm="1">
        <f t="array" ref="A26">IFERROR(INDEX(FileNameList,ROW()-2),"")</f>
        <v>foam_battery.SLDPRT</v>
      </c>
      <c r="B26" t="s">
        <v>1</v>
      </c>
      <c r="D26" t="s">
        <v>1</v>
      </c>
    </row>
    <row r="27" spans="1:4">
      <c r="A27" s="2" t="str" cm="1">
        <f t="array" ref="A27">IFERROR(INDEX(FileNameList,ROW()-2),"")</f>
        <v>foam_ESC.SLDPRT</v>
      </c>
      <c r="B27" t="s">
        <v>1</v>
      </c>
      <c r="D27" t="s">
        <v>1</v>
      </c>
    </row>
    <row r="28" spans="1:4">
      <c r="A28" s="2" t="str" cm="1">
        <f t="array" ref="A28">IFERROR(INDEX(FileNameList,ROW()-2),"")</f>
        <v>In-Line Ball Joint Receiver.SLDPRT</v>
      </c>
      <c r="B28" t="s">
        <v>1</v>
      </c>
      <c r="C28" s="7" t="s">
        <v>7</v>
      </c>
      <c r="D28" t="s">
        <v>1</v>
      </c>
    </row>
    <row r="29" spans="1:4">
      <c r="A29" s="2" t="str" cm="1">
        <f t="array" ref="A29">IFERROR(INDEX(FileNameList,ROW()-2),"")</f>
        <v>In-Line Ball Joint.SLDPRT</v>
      </c>
      <c r="B29" t="s">
        <v>1</v>
      </c>
      <c r="C29" s="7"/>
      <c r="D29" t="s">
        <v>1</v>
      </c>
    </row>
    <row r="30" spans="1:4">
      <c r="A30" s="2" t="str" cm="1">
        <f t="array" ref="A30">IFERROR(INDEX(FileNameList,ROW()-2),"")</f>
        <v>m16x1-5_gland.SLDPRT</v>
      </c>
      <c r="B30" t="s">
        <v>1</v>
      </c>
      <c r="D30" t="s">
        <v>1</v>
      </c>
    </row>
    <row r="31" spans="1:4">
      <c r="A31" s="2" t="str" cm="1">
        <f t="array" ref="A31">IFERROR(INDEX(FileNameList,ROW()-2),"")</f>
        <v>m16x1-5_gland.stp</v>
      </c>
      <c r="B31" s="6"/>
      <c r="C31" s="5"/>
      <c r="D31" s="5"/>
    </row>
    <row r="32" spans="1:4">
      <c r="A32" s="2" t="str" cm="1">
        <f t="array" ref="A32">IFERROR(INDEX(FileNameList,ROW()-2),"")</f>
        <v>Male DC-Power-to-Screw-Terminals-Adapter.SLDPRT</v>
      </c>
      <c r="B32" t="s">
        <v>1</v>
      </c>
      <c r="D32" t="s">
        <v>1</v>
      </c>
    </row>
    <row r="33" spans="1:4">
      <c r="A33" s="2" t="str" cm="1">
        <f t="array" ref="A33">IFERROR(INDEX(FileNameList,ROW()-2),"")</f>
        <v>module_assembly.SLDASM</v>
      </c>
      <c r="B33" s="5" t="s">
        <v>1</v>
      </c>
      <c r="C33" s="5"/>
      <c r="D33" s="5"/>
    </row>
    <row r="34" spans="1:4">
      <c r="A34" s="2" t="str" cm="1">
        <f t="array" ref="A34">IFERROR(INDEX(FileNameList,ROW()-2),"")</f>
        <v>on_off_button.SLDPRT</v>
      </c>
      <c r="B34" t="s">
        <v>1</v>
      </c>
      <c r="D34" t="s">
        <v>1</v>
      </c>
    </row>
    <row r="35" spans="1:4">
      <c r="A35" s="2" t="str" cm="1">
        <f t="array" ref="A35">IFERROR(INDEX(FileNameList,ROW()-2),"")</f>
        <v>Pipe Fitting Assembly.SLDASM</v>
      </c>
      <c r="B35" s="5" t="s">
        <v>1</v>
      </c>
      <c r="C35" s="5"/>
      <c r="D35" s="5"/>
    </row>
    <row r="36" spans="1:4">
      <c r="A36" s="2" t="str" cm="1">
        <f t="array" ref="A36">IFERROR(INDEX(FileNameList,ROW()-2),"")</f>
        <v>Pipe Fitting Corner Mount.SLDPRT</v>
      </c>
      <c r="B36" t="s">
        <v>1</v>
      </c>
      <c r="D36" t="s">
        <v>1</v>
      </c>
    </row>
    <row r="37" spans="1:4">
      <c r="A37" s="2" t="str" cm="1">
        <f t="array" ref="A37">IFERROR(INDEX(FileNameList,ROW()-2),"")</f>
        <v>Pipe Fitting Hole.SLDPRT</v>
      </c>
      <c r="B37" s="3" t="s">
        <v>1</v>
      </c>
      <c r="D37" s="4" t="s">
        <v>1</v>
      </c>
    </row>
    <row r="38" spans="1:4">
      <c r="A38" s="2" t="str" cm="1">
        <f t="array" ref="A38">IFERROR(INDEX(FileNameList,ROW()-2),"")</f>
        <v>Pipe Fitting.SLDPRT</v>
      </c>
      <c r="B38" t="s">
        <v>1</v>
      </c>
      <c r="D38" t="s">
        <v>1</v>
      </c>
    </row>
    <row r="39" spans="1:4">
      <c r="A39" s="2" t="str" cm="1">
        <f t="array" ref="A39">IFERROR(INDEX(FileNameList,ROW()-2),"")</f>
        <v>Powerfun EDF 70mm.SLDPRT</v>
      </c>
      <c r="B39" t="s">
        <v>1</v>
      </c>
      <c r="D39" t="s">
        <v>1</v>
      </c>
    </row>
    <row r="40" spans="1:4">
      <c r="A40" s="2" t="str" cm="1">
        <f t="array" ref="A40">IFERROR(INDEX(FileNameList,ROW()-2),"")</f>
        <v>Super Swivel Ball 3 Quarters Inch.SLDPRT</v>
      </c>
      <c r="B40" t="str">
        <f>B5</f>
        <v>yay</v>
      </c>
      <c r="C40" t="s">
        <v>9</v>
      </c>
      <c r="D40" t="s">
        <v>1</v>
      </c>
    </row>
    <row r="41" spans="1:4">
      <c r="A41" s="2" t="str" cm="1">
        <f t="array" ref="A41">IFERROR(INDEX(FileNameList,ROW()-2),"")</f>
        <v>Underside Chassis Mount Inline V2.SLDASM</v>
      </c>
      <c r="B41" s="5" t="s">
        <v>1</v>
      </c>
      <c r="C41" s="5"/>
      <c r="D41" s="5"/>
    </row>
    <row r="42" spans="1:4">
      <c r="A42" s="2" t="str" cm="1">
        <f t="array" ref="A42">IFERROR(INDEX(FileNameList,ROW()-2),"")</f>
        <v>Working Ball Joint Rod End Three Quarters.SLDASM</v>
      </c>
      <c r="B42" s="5" t="s">
        <v>1</v>
      </c>
      <c r="C42" s="5" t="s">
        <v>8</v>
      </c>
      <c r="D42" s="5"/>
    </row>
    <row r="43" spans="1:4">
      <c r="A43" s="2" t="str" cm="1">
        <f t="array" ref="A43">IFERROR(INDEX(FileNameList,ROW()-2),"")</f>
        <v>Working In-line Ball Joint.SLDASM</v>
      </c>
      <c r="B43" s="5" t="s">
        <v>1</v>
      </c>
      <c r="C43" s="5" t="s">
        <v>6</v>
      </c>
      <c r="D43" s="5"/>
    </row>
    <row r="44" spans="1:4">
      <c r="A44" s="2" t="str" cm="1">
        <f t="array" ref="A44">IFERROR(INDEX(FileNameList,ROW()-2),"")</f>
        <v/>
      </c>
    </row>
    <row r="45" spans="1:4">
      <c r="A45" s="2" t="str" cm="1">
        <f t="array" ref="A45">IFERROR(INDEX(FileNameList,ROW()-2),"")</f>
        <v/>
      </c>
    </row>
    <row r="46" spans="1:4">
      <c r="A46" s="2" t="str" cm="1">
        <f t="array" ref="A46">IFERROR(INDEX(FileNameList,ROW()-2),"")</f>
        <v/>
      </c>
    </row>
    <row r="47" spans="1:4">
      <c r="A47" s="2" t="str" cm="1">
        <f t="array" ref="A47">IFERROR(INDEX(FileNameList,ROW()-2),"")</f>
        <v/>
      </c>
    </row>
    <row r="48" spans="1:4">
      <c r="A48" s="2" t="str" cm="1">
        <f t="array" ref="A48">IFERROR(INDEX(FileNameList,ROW()-2),"")</f>
        <v/>
      </c>
    </row>
    <row r="49" spans="1:1">
      <c r="A49" s="2" t="str" cm="1">
        <f t="array" ref="A49">IFERROR(INDEX(FileNameList,ROW()-2),"")</f>
        <v/>
      </c>
    </row>
    <row r="50" spans="1:1">
      <c r="A50" s="2" t="str" cm="1">
        <f t="array" ref="A50">IFERROR(INDEX(FileNameList,ROW()-2),"")</f>
        <v/>
      </c>
    </row>
    <row r="51" spans="1:1">
      <c r="A51" s="2" t="str" cm="1">
        <f t="array" ref="A51">IFERROR(INDEX(FileNameList,ROW()-2),"")</f>
        <v/>
      </c>
    </row>
  </sheetData>
  <mergeCells count="2">
    <mergeCell ref="C18:C19"/>
    <mergeCell ref="C28:C29"/>
  </mergeCells>
  <conditionalFormatting sqref="B1:B1048576">
    <cfRule type="cellIs" dxfId="4" priority="1" operator="equal">
      <formula>"yay"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06B2C-FC59-40CA-97FE-6D37326B9FE9}">
  <dimension ref="A1:A57"/>
  <sheetViews>
    <sheetView zoomScale="90" zoomScaleNormal="90" workbookViewId="0">
      <selection sqref="A1:A1048576"/>
    </sheetView>
  </sheetViews>
  <sheetFormatPr defaultRowHeight="15"/>
  <cols>
    <col min="1" max="1" width="31" customWidth="1"/>
  </cols>
  <sheetData>
    <row r="1" spans="1:1">
      <c r="A1" s="2" t="s">
        <v>2</v>
      </c>
    </row>
    <row r="3" spans="1:1">
      <c r="A3" s="2" t="str">
        <f>IFERROR(INDEX(FileNameList2,ROW()-2),"")</f>
        <v>30555T31_RUBBER-CUSHIONED U-BOLT.SLDPRT</v>
      </c>
    </row>
    <row r="4" spans="1:1">
      <c r="A4" s="2" t="str">
        <f>IFERROR(INDEX(FileNameList2,ROW()-2),"")</f>
        <v>3313N769_ HIGH STRENGTH STEEL THREADED ROD.SLDPRT</v>
      </c>
    </row>
    <row r="5" spans="1:1">
      <c r="A5" s="2" t="str">
        <f>IFERROR(INDEX(FileNameList2,ROW()-2),"")</f>
        <v>6960T610_SUPER-SWIVEL BALL JOINT ROD END.SLDPRT</v>
      </c>
    </row>
    <row r="6" spans="1:1">
      <c r="A6" s="2" t="str">
        <f>IFERROR(INDEX(FileNameList2,ROW()-2),"")</f>
        <v>91309A542_LOW-STRENGTH ZINC-PLATED STEEL CAP SCREW.SLDPRT</v>
      </c>
    </row>
    <row r="7" spans="1:1">
      <c r="A7" s="2" t="str">
        <f>IFERROR(INDEX(FileNameList2,ROW()-2),"")</f>
        <v>91831A029_TYPE 18-8 STAINLESS STL NYLON-INSERT LOCKNUT.SLDPRT</v>
      </c>
    </row>
    <row r="8" spans="1:1">
      <c r="A8" s="2" t="str">
        <f>IFERROR(INDEX(FileNameList2,ROW()-2),"")</f>
        <v>92141A029_TYPE 18-8 STAINLESS STEEL FLAT WASHER.SLDPRT</v>
      </c>
    </row>
    <row r="9" spans="1:1">
      <c r="A9" s="2" t="str">
        <f>IFERROR(INDEX(FileNameList2,ROW()-2),"")</f>
        <v>92196A542_18-8 STAINLESS STEEL SOCKET HEAD SCREW.SLDPRT</v>
      </c>
    </row>
    <row r="10" spans="1:1">
      <c r="A10" s="2" t="str">
        <f>IFERROR(INDEX(FileNameList2,ROW()-2),"")</f>
        <v>95462A029_GRADE 5 STEEL HEX NUT.SLDPRT</v>
      </c>
    </row>
    <row r="11" spans="1:1">
      <c r="A11" s="2" t="str">
        <f>IFERROR(INDEX(FileNameList2,ROW()-2),"")</f>
        <v>95505A613_GRADE 5 STEEL HEX NUT.SLDPRT</v>
      </c>
    </row>
    <row r="12" spans="1:1">
      <c r="A12" s="2" t="str">
        <f>IFERROR(INDEX(FileNameList2,ROW()-2),"")</f>
        <v>Battery.SLDPRT</v>
      </c>
    </row>
    <row r="13" spans="1:1">
      <c r="A13" s="2" t="str">
        <f>IFERROR(INDEX(FileNameList2,ROW()-2),"")</f>
        <v>Corner Mount.SLDASM</v>
      </c>
    </row>
    <row r="14" spans="1:1">
      <c r="A14" s="2" t="str">
        <f>IFERROR(INDEX(FileNameList2,ROW()-2),"")</f>
        <v>ESC Placeholder.SLDPRT</v>
      </c>
    </row>
    <row r="15" spans="1:1">
      <c r="A15" s="2" t="str">
        <f>IFERROR(INDEX(FileNameList2,ROW()-2),"")</f>
        <v>foam_battery.SLDPRT</v>
      </c>
    </row>
    <row r="16" spans="1:1">
      <c r="A16" s="2" t="str">
        <f>IFERROR(INDEX(FileNameList2,ROW()-2),"")</f>
        <v>foam_ESC.SLDPRT</v>
      </c>
    </row>
    <row r="17" spans="1:1">
      <c r="A17" s="2" t="str">
        <f>IFERROR(INDEX(FileNameList2,ROW()-2),"")</f>
        <v>In-Line Ball Joint Receiver.SLDPRT</v>
      </c>
    </row>
    <row r="18" spans="1:1">
      <c r="A18" s="2" t="str">
        <f>IFERROR(INDEX(FileNameList2,ROW()-2),"")</f>
        <v>In-Line Ball Joint.SLDPRT</v>
      </c>
    </row>
    <row r="19" spans="1:1">
      <c r="A19" s="2" t="str">
        <f>IFERROR(INDEX(FileNameList2,ROW()-2),"")</f>
        <v>m16x1-5_gland.SLDPRT</v>
      </c>
    </row>
    <row r="20" spans="1:1">
      <c r="A20" s="2" t="str">
        <f>IFERROR(INDEX(FileNameList2,ROW()-2),"")</f>
        <v>m16x1-5_gland.stp</v>
      </c>
    </row>
    <row r="21" spans="1:1">
      <c r="A21" s="2" t="str">
        <f>IFERROR(INDEX(FileNameList2,ROW()-2),"")</f>
        <v>Pipe Fitting Assembly.SLDASM</v>
      </c>
    </row>
    <row r="22" spans="1:1">
      <c r="A22" s="2" t="str">
        <f>IFERROR(INDEX(FileNameList2,ROW()-2),"")</f>
        <v>Pipe Fitting Corner Mount.SLDPRT</v>
      </c>
    </row>
    <row r="23" spans="1:1">
      <c r="A23" s="2" t="str">
        <f>IFERROR(INDEX(FileNameList2,ROW()-2),"")</f>
        <v>Pipe Fitting Hole.SLDPRT</v>
      </c>
    </row>
    <row r="24" spans="1:1">
      <c r="A24" s="2" t="str">
        <f>IFERROR(INDEX(FileNameList2,ROW()-2),"")</f>
        <v>Pipe Fitting.SLDPRT</v>
      </c>
    </row>
    <row r="25" spans="1:1">
      <c r="A25" s="2" t="str">
        <f>IFERROR(INDEX(FileNameList2,ROW()-2),"")</f>
        <v>Powerfun EDF 70mm.SLDPRT</v>
      </c>
    </row>
    <row r="26" spans="1:1">
      <c r="A26" s="2" t="str">
        <f>IFERROR(INDEX(FileNameList2,ROW()-2),"")</f>
        <v>subchassis.SLDASM</v>
      </c>
    </row>
    <row r="27" spans="1:1">
      <c r="A27" s="2" t="str">
        <f>IFERROR(INDEX(FileNameList2,ROW()-2),"")</f>
        <v>submodule_assembly.SLDASM</v>
      </c>
    </row>
    <row r="28" spans="1:1">
      <c r="A28" s="2" t="str">
        <f>IFERROR(INDEX(FileNameList2,ROW()-2),"")</f>
        <v>sub_chassis_bot.SLDPRT</v>
      </c>
    </row>
    <row r="29" spans="1:1">
      <c r="A29" s="2" t="str">
        <f>IFERROR(INDEX(FileNameList2,ROW()-2),"")</f>
        <v>sub_chassis_top.SLDPRT</v>
      </c>
    </row>
    <row r="30" spans="1:1">
      <c r="A30" s="2" t="str">
        <f>IFERROR(INDEX(FileNameList2,ROW()-2),"")</f>
        <v>Super Swivel Ball 3 Quarters Inch.SLDPRT</v>
      </c>
    </row>
    <row r="31" spans="1:1">
      <c r="A31" s="2" t="str">
        <f>IFERROR(INDEX(FileNameList2,ROW()-2),"")</f>
        <v>Underside Chassis Mount Inline V2.SLDASM</v>
      </c>
    </row>
    <row r="32" spans="1:1">
      <c r="A32" s="2" t="str">
        <f>IFERROR(INDEX(FileNameList2,ROW()-2),"")</f>
        <v>Working Ball Joint Rod End Three Quarters.SLDASM</v>
      </c>
    </row>
    <row r="33" spans="1:1">
      <c r="A33" s="2" t="str">
        <f>IFERROR(INDEX(FileNameList2,ROW()-2),"")</f>
        <v>Working In-line Ball Joint.SLDASM</v>
      </c>
    </row>
    <row r="34" spans="1:1">
      <c r="A34" s="2" t="str">
        <f>IFERROR(INDEX(FileNameList2,ROW()-2),"")</f>
        <v/>
      </c>
    </row>
    <row r="35" spans="1:1">
      <c r="A35" s="2" t="str">
        <f>IFERROR(INDEX(FileNameList2,ROW()-2),"")</f>
        <v/>
      </c>
    </row>
    <row r="36" spans="1:1">
      <c r="A36" s="2" t="str">
        <f>IFERROR(INDEX(FileNameList2,ROW()-2),"")</f>
        <v/>
      </c>
    </row>
    <row r="37" spans="1:1">
      <c r="A37" s="2" t="str">
        <f>IFERROR(INDEX(FileNameList2,ROW()-2),"")</f>
        <v/>
      </c>
    </row>
    <row r="38" spans="1:1">
      <c r="A38" s="2" t="str">
        <f>IFERROR(INDEX(FileNameList2,ROW()-2),"")</f>
        <v/>
      </c>
    </row>
    <row r="39" spans="1:1">
      <c r="A39" s="2" t="str">
        <f>IFERROR(INDEX(FileNameList2,ROW()-2),"")</f>
        <v/>
      </c>
    </row>
    <row r="40" spans="1:1">
      <c r="A40" s="2" t="str">
        <f>IFERROR(INDEX(FileNameList2,ROW()-2),"")</f>
        <v/>
      </c>
    </row>
    <row r="41" spans="1:1">
      <c r="A41" s="2" t="str">
        <f>IFERROR(INDEX(FileNameList2,ROW()-2),"")</f>
        <v/>
      </c>
    </row>
    <row r="42" spans="1:1">
      <c r="A42" s="2" t="str">
        <f>IFERROR(INDEX(FileNameList2,ROW()-2),"")</f>
        <v/>
      </c>
    </row>
    <row r="43" spans="1:1">
      <c r="A43" s="2" t="str">
        <f>IFERROR(INDEX(FileNameList2,ROW()-2),"")</f>
        <v/>
      </c>
    </row>
    <row r="44" spans="1:1">
      <c r="A44" s="2" t="str">
        <f>IFERROR(INDEX(FileNameList2,ROW()-2),"")</f>
        <v/>
      </c>
    </row>
    <row r="45" spans="1:1">
      <c r="A45" s="2" t="str">
        <f>IFERROR(INDEX(FileNameList2,ROW()-2),"")</f>
        <v/>
      </c>
    </row>
    <row r="46" spans="1:1">
      <c r="A46" s="2" t="str">
        <f>IFERROR(INDEX(FileNameList2,ROW()-2),"")</f>
        <v/>
      </c>
    </row>
    <row r="47" spans="1:1">
      <c r="A47" s="2" t="str" cm="1">
        <f t="array" ref="A47">IFERROR(INDEX(FileNameList,ROW()-2),"")</f>
        <v/>
      </c>
    </row>
    <row r="48" spans="1:1">
      <c r="A48" s="2" t="str" cm="1">
        <f t="array" ref="A48">IFERROR(INDEX(FileNameList,ROW()-2),"")</f>
        <v/>
      </c>
    </row>
    <row r="49" spans="1:1">
      <c r="A49" s="2" t="str" cm="1">
        <f t="array" ref="A49">IFERROR(INDEX(FileNameList,ROW()-2),"")</f>
        <v/>
      </c>
    </row>
    <row r="50" spans="1:1">
      <c r="A50" s="2" t="str" cm="1">
        <f t="array" ref="A50">IFERROR(INDEX(FileNameList,ROW()-2),"")</f>
        <v/>
      </c>
    </row>
    <row r="51" spans="1:1">
      <c r="A51" s="2" t="str" cm="1">
        <f t="array" ref="A51">IFERROR(INDEX(FileNameList,ROW()-2),"")</f>
        <v/>
      </c>
    </row>
    <row r="52" spans="1:1">
      <c r="A52" s="2" t="str" cm="1">
        <f t="array" ref="A52">IFERROR(INDEX(FileNameList,ROW()-2),"")</f>
        <v/>
      </c>
    </row>
    <row r="53" spans="1:1">
      <c r="A53" s="2" t="str" cm="1">
        <f t="array" ref="A53">IFERROR(INDEX(FileNameList,ROW()-2),"")</f>
        <v/>
      </c>
    </row>
    <row r="54" spans="1:1">
      <c r="A54" s="2" t="str" cm="1">
        <f t="array" ref="A54">IFERROR(INDEX(FileNameList,ROW()-2),"")</f>
        <v/>
      </c>
    </row>
    <row r="55" spans="1:1">
      <c r="A55" s="2" t="str" cm="1">
        <f t="array" ref="A55">IFERROR(INDEX(FileNameList,ROW()-2),"")</f>
        <v/>
      </c>
    </row>
    <row r="56" spans="1:1">
      <c r="A56" s="2" t="str" cm="1">
        <f t="array" ref="A56">IFERROR(INDEX(FileNameList,ROW()-2),"")</f>
        <v/>
      </c>
    </row>
    <row r="57" spans="1:1">
      <c r="A57" s="2" t="str" cm="1">
        <f t="array" ref="A57">IFERROR(INDEX(FileNameList,ROW()-2),"")</f>
        <v/>
      </c>
    </row>
  </sheetData>
  <conditionalFormatting sqref="A1">
    <cfRule type="containsText" dxfId="3" priority="2" operator="containsText" text="SLDASM">
      <formula>NOT(ISERROR(SEARCH("SLDASM",A1)))</formula>
    </cfRule>
  </conditionalFormatting>
  <conditionalFormatting sqref="A3:A57">
    <cfRule type="containsText" dxfId="2" priority="1" operator="containsText" text="SLDASM">
      <formula>NOT(ISERROR(SEARCH("SLDASM",A3)))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9E5C4-6CA9-4118-BA20-C15F4C8284F9}">
  <dimension ref="A1:A57"/>
  <sheetViews>
    <sheetView workbookViewId="0">
      <selection activeCell="B8" sqref="B8"/>
    </sheetView>
  </sheetViews>
  <sheetFormatPr defaultRowHeight="15"/>
  <cols>
    <col min="1" max="1" width="31" customWidth="1"/>
  </cols>
  <sheetData>
    <row r="1" spans="1:1">
      <c r="A1" s="2" t="s">
        <v>2</v>
      </c>
    </row>
    <row r="3" spans="1:1">
      <c r="A3" s="2" t="str">
        <f>IFERROR(INDEX(FileNameList2,ROW()-2),"")</f>
        <v>30555T31_RUBBER-CUSHIONED U-BOLT.SLDPRT</v>
      </c>
    </row>
    <row r="4" spans="1:1">
      <c r="A4" s="2" t="str">
        <f>IFERROR(INDEX(FileNameList2,ROW()-2),"")</f>
        <v>3313N769_ HIGH STRENGTH STEEL THREADED ROD.SLDPRT</v>
      </c>
    </row>
    <row r="5" spans="1:1">
      <c r="A5" s="2" t="str">
        <f>IFERROR(INDEX(FileNameList2,ROW()-2),"")</f>
        <v>6960T610_SUPER-SWIVEL BALL JOINT ROD END.SLDPRT</v>
      </c>
    </row>
    <row r="6" spans="1:1">
      <c r="A6" s="2" t="str">
        <f>IFERROR(INDEX(FileNameList2,ROW()-2),"")</f>
        <v>91309A542_LOW-STRENGTH ZINC-PLATED STEEL CAP SCREW.SLDPRT</v>
      </c>
    </row>
    <row r="7" spans="1:1">
      <c r="A7" s="2" t="str">
        <f>IFERROR(INDEX(FileNameList2,ROW()-2),"")</f>
        <v>91831A029_TYPE 18-8 STAINLESS STL NYLON-INSERT LOCKNUT.SLDPRT</v>
      </c>
    </row>
    <row r="8" spans="1:1">
      <c r="A8" s="2" t="str">
        <f>IFERROR(INDEX(FileNameList2,ROW()-2),"")</f>
        <v>92141A029_TYPE 18-8 STAINLESS STEEL FLAT WASHER.SLDPRT</v>
      </c>
    </row>
    <row r="9" spans="1:1">
      <c r="A9" s="2" t="str">
        <f>IFERROR(INDEX(FileNameList2,ROW()-2),"")</f>
        <v>92196A542_18-8 STAINLESS STEEL SOCKET HEAD SCREW.SLDPRT</v>
      </c>
    </row>
    <row r="10" spans="1:1">
      <c r="A10" s="2" t="str">
        <f>IFERROR(INDEX(FileNameList2,ROW()-2),"")</f>
        <v>95462A029_GRADE 5 STEEL HEX NUT.SLDPRT</v>
      </c>
    </row>
    <row r="11" spans="1:1">
      <c r="A11" s="2" t="str">
        <f>IFERROR(INDEX(FileNameList2,ROW()-2),"")</f>
        <v>95505A613_GRADE 5 STEEL HEX NUT.SLDPRT</v>
      </c>
    </row>
    <row r="12" spans="1:1">
      <c r="A12" s="2" t="str">
        <f>IFERROR(INDEX(FileNameList2,ROW()-2),"")</f>
        <v>Battery.SLDPRT</v>
      </c>
    </row>
    <row r="13" spans="1:1">
      <c r="A13" s="2" t="str">
        <f>IFERROR(INDEX(FileNameList2,ROW()-2),"")</f>
        <v>Corner Mount.SLDASM</v>
      </c>
    </row>
    <row r="14" spans="1:1">
      <c r="A14" s="2" t="str">
        <f>IFERROR(INDEX(FileNameList2,ROW()-2),"")</f>
        <v>ESC Placeholder.SLDPRT</v>
      </c>
    </row>
    <row r="15" spans="1:1">
      <c r="A15" s="2" t="str">
        <f>IFERROR(INDEX(FileNameList2,ROW()-2),"")</f>
        <v>foam_battery.SLDPRT</v>
      </c>
    </row>
    <row r="16" spans="1:1">
      <c r="A16" s="2" t="str">
        <f>IFERROR(INDEX(FileNameList2,ROW()-2),"")</f>
        <v>foam_ESC.SLDPRT</v>
      </c>
    </row>
    <row r="17" spans="1:1">
      <c r="A17" s="2" t="str">
        <f>IFERROR(INDEX(FileNameList2,ROW()-2),"")</f>
        <v>In-Line Ball Joint Receiver.SLDPRT</v>
      </c>
    </row>
    <row r="18" spans="1:1">
      <c r="A18" s="2" t="str">
        <f>IFERROR(INDEX(FileNameList2,ROW()-2),"")</f>
        <v>In-Line Ball Joint.SLDPRT</v>
      </c>
    </row>
    <row r="19" spans="1:1">
      <c r="A19" s="2" t="str">
        <f>IFERROR(INDEX(FileNameList2,ROW()-2),"")</f>
        <v>m16x1-5_gland.SLDPRT</v>
      </c>
    </row>
    <row r="20" spans="1:1">
      <c r="A20" s="2" t="str">
        <f>IFERROR(INDEX(FileNameList2,ROW()-2),"")</f>
        <v>m16x1-5_gland.stp</v>
      </c>
    </row>
    <row r="21" spans="1:1">
      <c r="A21" s="2" t="str">
        <f>IFERROR(INDEX(FileNameList2,ROW()-2),"")</f>
        <v>Pipe Fitting Assembly.SLDASM</v>
      </c>
    </row>
    <row r="22" spans="1:1">
      <c r="A22" s="2" t="str">
        <f>IFERROR(INDEX(FileNameList2,ROW()-2),"")</f>
        <v>Pipe Fitting Corner Mount.SLDPRT</v>
      </c>
    </row>
    <row r="23" spans="1:1">
      <c r="A23" s="2" t="str">
        <f>IFERROR(INDEX(FileNameList2,ROW()-2),"")</f>
        <v>Pipe Fitting Hole.SLDPRT</v>
      </c>
    </row>
    <row r="24" spans="1:1">
      <c r="A24" s="2" t="str">
        <f>IFERROR(INDEX(FileNameList2,ROW()-2),"")</f>
        <v>Pipe Fitting.SLDPRT</v>
      </c>
    </row>
    <row r="25" spans="1:1">
      <c r="A25" s="2" t="str">
        <f>IFERROR(INDEX(FileNameList2,ROW()-2),"")</f>
        <v>Powerfun EDF 70mm.SLDPRT</v>
      </c>
    </row>
    <row r="26" spans="1:1">
      <c r="A26" s="2" t="str">
        <f>IFERROR(INDEX(FileNameList2,ROW()-2),"")</f>
        <v>subchassis.SLDASM</v>
      </c>
    </row>
    <row r="27" spans="1:1">
      <c r="A27" s="2" t="str">
        <f>IFERROR(INDEX(FileNameList2,ROW()-2),"")</f>
        <v>submodule_assembly.SLDASM</v>
      </c>
    </row>
    <row r="28" spans="1:1">
      <c r="A28" s="2" t="str">
        <f>IFERROR(INDEX(FileNameList2,ROW()-2),"")</f>
        <v>sub_chassis_bot.SLDPRT</v>
      </c>
    </row>
    <row r="29" spans="1:1">
      <c r="A29" s="2" t="str">
        <f>IFERROR(INDEX(FileNameList2,ROW()-2),"")</f>
        <v>sub_chassis_top.SLDPRT</v>
      </c>
    </row>
    <row r="30" spans="1:1">
      <c r="A30" s="2" t="str">
        <f>IFERROR(INDEX(FileNameList2,ROW()-2),"")</f>
        <v>Super Swivel Ball 3 Quarters Inch.SLDPRT</v>
      </c>
    </row>
    <row r="31" spans="1:1">
      <c r="A31" s="2" t="str">
        <f>IFERROR(INDEX(FileNameList2,ROW()-2),"")</f>
        <v>Underside Chassis Mount Inline V2.SLDASM</v>
      </c>
    </row>
    <row r="32" spans="1:1">
      <c r="A32" s="2" t="str">
        <f>IFERROR(INDEX(FileNameList2,ROW()-2),"")</f>
        <v>Working Ball Joint Rod End Three Quarters.SLDASM</v>
      </c>
    </row>
    <row r="33" spans="1:1">
      <c r="A33" s="2" t="str">
        <f>IFERROR(INDEX(FileNameList2,ROW()-2),"")</f>
        <v>Working In-line Ball Joint.SLDASM</v>
      </c>
    </row>
    <row r="34" spans="1:1">
      <c r="A34" s="2" t="str">
        <f>IFERROR(INDEX(FileNameList2,ROW()-2),"")</f>
        <v/>
      </c>
    </row>
    <row r="35" spans="1:1">
      <c r="A35" s="2" t="str">
        <f>IFERROR(INDEX(FileNameList2,ROW()-2),"")</f>
        <v/>
      </c>
    </row>
    <row r="36" spans="1:1">
      <c r="A36" s="2" t="str">
        <f>IFERROR(INDEX(FileNameList2,ROW()-2),"")</f>
        <v/>
      </c>
    </row>
    <row r="37" spans="1:1">
      <c r="A37" s="2" t="str">
        <f>IFERROR(INDEX(FileNameList2,ROW()-2),"")</f>
        <v/>
      </c>
    </row>
    <row r="38" spans="1:1">
      <c r="A38" s="2" t="str">
        <f>IFERROR(INDEX(FileNameList2,ROW()-2),"")</f>
        <v/>
      </c>
    </row>
    <row r="39" spans="1:1">
      <c r="A39" s="2" t="str">
        <f>IFERROR(INDEX(FileNameList2,ROW()-2),"")</f>
        <v/>
      </c>
    </row>
    <row r="40" spans="1:1">
      <c r="A40" s="2" t="str">
        <f>IFERROR(INDEX(FileNameList2,ROW()-2),"")</f>
        <v/>
      </c>
    </row>
    <row r="41" spans="1:1">
      <c r="A41" s="2" t="str">
        <f>IFERROR(INDEX(FileNameList2,ROW()-2),"")</f>
        <v/>
      </c>
    </row>
    <row r="42" spans="1:1">
      <c r="A42" s="2" t="str">
        <f>IFERROR(INDEX(FileNameList2,ROW()-2),"")</f>
        <v/>
      </c>
    </row>
    <row r="43" spans="1:1">
      <c r="A43" s="2" t="str">
        <f>IFERROR(INDEX(FileNameList2,ROW()-2),"")</f>
        <v/>
      </c>
    </row>
    <row r="44" spans="1:1">
      <c r="A44" s="2" t="str">
        <f>IFERROR(INDEX(FileNameList2,ROW()-2),"")</f>
        <v/>
      </c>
    </row>
    <row r="45" spans="1:1">
      <c r="A45" s="2" t="str">
        <f>IFERROR(INDEX(FileNameList2,ROW()-2),"")</f>
        <v/>
      </c>
    </row>
    <row r="46" spans="1:1">
      <c r="A46" s="2" t="str">
        <f>IFERROR(INDEX(FileNameList2,ROW()-2),"")</f>
        <v/>
      </c>
    </row>
    <row r="47" spans="1:1">
      <c r="A47" s="2" t="str" cm="1">
        <f t="array" ref="A47">IFERROR(INDEX(FileNameList,ROW()-2),"")</f>
        <v/>
      </c>
    </row>
    <row r="48" spans="1:1">
      <c r="A48" s="2" t="str" cm="1">
        <f t="array" ref="A48">IFERROR(INDEX(FileNameList,ROW()-2),"")</f>
        <v/>
      </c>
    </row>
    <row r="49" spans="1:1">
      <c r="A49" s="2" t="str" cm="1">
        <f t="array" ref="A49">IFERROR(INDEX(FileNameList,ROW()-2),"")</f>
        <v/>
      </c>
    </row>
    <row r="50" spans="1:1">
      <c r="A50" s="2" t="str" cm="1">
        <f t="array" ref="A50">IFERROR(INDEX(FileNameList,ROW()-2),"")</f>
        <v/>
      </c>
    </row>
    <row r="51" spans="1:1">
      <c r="A51" s="2" t="str" cm="1">
        <f t="array" ref="A51">IFERROR(INDEX(FileNameList,ROW()-2),"")</f>
        <v/>
      </c>
    </row>
    <row r="52" spans="1:1">
      <c r="A52" s="2" t="str" cm="1">
        <f t="array" ref="A52">IFERROR(INDEX(FileNameList,ROW()-2),"")</f>
        <v/>
      </c>
    </row>
    <row r="53" spans="1:1">
      <c r="A53" s="2" t="str" cm="1">
        <f t="array" ref="A53">IFERROR(INDEX(FileNameList,ROW()-2),"")</f>
        <v/>
      </c>
    </row>
    <row r="54" spans="1:1">
      <c r="A54" s="2" t="str" cm="1">
        <f t="array" ref="A54">IFERROR(INDEX(FileNameList,ROW()-2),"")</f>
        <v/>
      </c>
    </row>
    <row r="55" spans="1:1">
      <c r="A55" s="2" t="str" cm="1">
        <f t="array" ref="A55">IFERROR(INDEX(FileNameList,ROW()-2),"")</f>
        <v/>
      </c>
    </row>
    <row r="56" spans="1:1">
      <c r="A56" s="2" t="str" cm="1">
        <f t="array" ref="A56">IFERROR(INDEX(FileNameList,ROW()-2),"")</f>
        <v/>
      </c>
    </row>
    <row r="57" spans="1:1">
      <c r="A57" s="2" t="str" cm="1">
        <f t="array" ref="A57">IFERROR(INDEX(FileNameList,ROW()-2),"")</f>
        <v/>
      </c>
    </row>
  </sheetData>
  <conditionalFormatting sqref="A1">
    <cfRule type="containsText" dxfId="1" priority="2" operator="containsText" text="SLDASM">
      <formula>NOT(ISERROR(SEARCH("SLDASM",A1)))</formula>
    </cfRule>
  </conditionalFormatting>
  <conditionalFormatting sqref="A3:A57">
    <cfRule type="containsText" dxfId="0" priority="1" operator="containsText" text="SLDASM">
      <formula>NOT(ISERROR(SEARCH("SLDASM",A3)))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Main</vt:lpstr>
      <vt:lpstr>Main (Text Only)</vt:lpstr>
      <vt:lpstr>Sub</vt:lpstr>
      <vt:lpstr>Sub (Text Only)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Wong</dc:creator>
  <cp:lastModifiedBy>Jeremy Wong</cp:lastModifiedBy>
  <dcterms:created xsi:type="dcterms:W3CDTF">2021-05-07T00:55:26Z</dcterms:created>
  <dcterms:modified xsi:type="dcterms:W3CDTF">2021-06-11T04:02:01Z</dcterms:modified>
</cp:coreProperties>
</file>